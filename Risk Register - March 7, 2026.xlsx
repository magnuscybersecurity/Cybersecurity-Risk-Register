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 Register" sheetId="1" r:id="rId5"/>
    <sheet state="visible" name="Legend" sheetId="2" r:id="rId6"/>
    <sheet state="visible" name="Summary" sheetId="3" r:id="rId7"/>
  </sheets>
  <definedNames/>
  <calcPr/>
</workbook>
</file>

<file path=xl/sharedStrings.xml><?xml version="1.0" encoding="utf-8"?>
<sst xmlns="http://schemas.openxmlformats.org/spreadsheetml/2006/main" count="204" uniqueCount="158">
  <si>
    <t>Cybersecurity Risk Register- March 7, 2026</t>
  </si>
  <si>
    <t>Risk ID</t>
  </si>
  <si>
    <t>Asset</t>
  </si>
  <si>
    <t>Threat</t>
  </si>
  <si>
    <t>Asset Owner</t>
  </si>
  <si>
    <t>Vulnerability</t>
  </si>
  <si>
    <t>Existing Controls</t>
  </si>
  <si>
    <t>Likelihood</t>
  </si>
  <si>
    <t>Impact</t>
  </si>
  <si>
    <t>Inherent Risk</t>
  </si>
  <si>
    <t>Control Effectiveness</t>
  </si>
  <si>
    <t>Residual Risk</t>
  </si>
  <si>
    <t>Mitigation Strategy</t>
  </si>
  <si>
    <t>Risk Owner</t>
  </si>
  <si>
    <t>Remediation Date</t>
  </si>
  <si>
    <t>Review</t>
  </si>
  <si>
    <t>RR-001</t>
  </si>
  <si>
    <t>Active Directory</t>
  </si>
  <si>
    <t>Privilege Escalation</t>
  </si>
  <si>
    <t>IT Director</t>
  </si>
  <si>
    <t>Weak Passwords</t>
  </si>
  <si>
    <t>MFA, RBAC, GPO</t>
  </si>
  <si>
    <t>Stricter Password Policies, Enforcing PAM, Quarterly Access Reviews</t>
  </si>
  <si>
    <t>CISO</t>
  </si>
  <si>
    <t>Quarterly</t>
  </si>
  <si>
    <t>RR-002</t>
  </si>
  <si>
    <t>Admin Accounts</t>
  </si>
  <si>
    <t>Credential Theft</t>
  </si>
  <si>
    <t>Phishing</t>
  </si>
  <si>
    <t>MFA, PAM</t>
  </si>
  <si>
    <t>Enforce PAM, Implement Phishing-Resistant MFA</t>
  </si>
  <si>
    <t>Bi-Annually</t>
  </si>
  <si>
    <t>RR-003</t>
  </si>
  <si>
    <t>Backup System</t>
  </si>
  <si>
    <t>Ransomware and Cyber Attack</t>
  </si>
  <si>
    <t>IT Operations Manager</t>
  </si>
  <si>
    <t>Misconfiguration</t>
  </si>
  <si>
    <t>Firewall Rules, Network Segmentation, Encryption at Rest and in Transit, Immutable Backups, EDR</t>
  </si>
  <si>
    <t>Enforce Patch Management, Conduct Regular Backup Testing, Strengthen Network Segmentation</t>
  </si>
  <si>
    <t>RR-004</t>
  </si>
  <si>
    <t>Physical Destruction</t>
  </si>
  <si>
    <t>Lack of Geographic Redundancy</t>
  </si>
  <si>
    <t>Geographic Redundancy, Offsite Storage, Vaults and Restricted Access, 3-2-1 Backup Policy</t>
  </si>
  <si>
    <t xml:space="preserve">Enforce Geographic Redundancy, Regular Physical Security Audits, Regular Backup Testing </t>
  </si>
  <si>
    <t>Annually</t>
  </si>
  <si>
    <t>RR-005</t>
  </si>
  <si>
    <t>Company Website</t>
  </si>
  <si>
    <t xml:space="preserve">DDos Attack </t>
  </si>
  <si>
    <t>Web Development Manager</t>
  </si>
  <si>
    <t>Insufficient Rate Limiting and DDoS Protection</t>
  </si>
  <si>
    <t>Cloudflare, Rate Limiting, Firewall Rules</t>
  </si>
  <si>
    <t>Upgrade DDoS Protection and Conduct Regular Load Testing</t>
  </si>
  <si>
    <t>RR-006</t>
  </si>
  <si>
    <t>SQL Injection</t>
  </si>
  <si>
    <t>No Web Application Firewall and Invalid User Inputs</t>
  </si>
  <si>
    <t>Web Application Firewall, Input Validation,  Parameterised Queries, Database Monitoring</t>
  </si>
  <si>
    <t>Implement a Strong Web Application Firewall, Enforce Input Validation, Conduct Regular Penetration Testing</t>
  </si>
  <si>
    <t>RR-007</t>
  </si>
  <si>
    <t>Customer Database</t>
  </si>
  <si>
    <t>Unauthorized Access</t>
  </si>
  <si>
    <t>Chief Data Officer (CDO)</t>
  </si>
  <si>
    <t>Compromised Credentials, Weak Access Controls, Unencrypted Data</t>
  </si>
  <si>
    <t>MFA, Hashing, RBAC, Encryption at Rest</t>
  </si>
  <si>
    <t>Strict RBAC, Implement Database Activity Monitoring, Quartely Access Reviews</t>
  </si>
  <si>
    <t>RR-008</t>
  </si>
  <si>
    <t>Employee Email</t>
  </si>
  <si>
    <t>Lack of Security Awareness Training, No MFA, No Email Filter</t>
  </si>
  <si>
    <t>Email FIlter, MFA, Security Awareness Training, EDR</t>
  </si>
  <si>
    <t>Enforce MFA, Advanced Email Monitoring, Conduct Regular Phishing Sim Training</t>
  </si>
  <si>
    <t>IT DIrector</t>
  </si>
  <si>
    <t>RR-009</t>
  </si>
  <si>
    <t>Employee Laptops</t>
  </si>
  <si>
    <t xml:space="preserve">Malware </t>
  </si>
  <si>
    <t>Compromised Removable Media, Weak Endpoint Protection</t>
  </si>
  <si>
    <t>Anti-Malware Software, EDR, USB Port Restrictions, Full Disk Encryption, Patch Management, MDM</t>
  </si>
  <si>
    <t>Restrict USB Access, Enforce EDR, Implement MDM to Monitor and Manage Employee Laptops</t>
  </si>
  <si>
    <t xml:space="preserve">IT Director </t>
  </si>
  <si>
    <t>RR-010</t>
  </si>
  <si>
    <t>Firewall</t>
  </si>
  <si>
    <t>IT Security Manager</t>
  </si>
  <si>
    <t>Outdated Software, Weak Firewall Rules</t>
  </si>
  <si>
    <t>Regular Auditing and Updates, Network Monitoring, IDS</t>
  </si>
  <si>
    <t>Enforce Regular Updates, Quarterly Firewall Rule Reviews, Implement Network Monitoring</t>
  </si>
  <si>
    <t>RR-011</t>
  </si>
  <si>
    <t>HR Database</t>
  </si>
  <si>
    <t>Malicious Internal Access</t>
  </si>
  <si>
    <t>HR Director</t>
  </si>
  <si>
    <t>Unnecessary Access Privileges, No Access Monitoring, No Data Loss Prevention, No Seperation of Duties</t>
  </si>
  <si>
    <t>PAM, RBAC, Access Logging, DLP</t>
  </si>
  <si>
    <t>Enforce Least Privilege, Conduct Quarterly Access Reviews, Implement Audit Logging</t>
  </si>
  <si>
    <t>RR-012</t>
  </si>
  <si>
    <t>Internal Network</t>
  </si>
  <si>
    <t>Lateral Movement</t>
  </si>
  <si>
    <t>Lack of Network Segmentation, No Offboarding Process</t>
  </si>
  <si>
    <t>Network Segmentation, IDS, RBAC, Offboarding Process, Network Monitoring</t>
  </si>
  <si>
    <t>Implement Network Segmentation, Deploy IDS, Enforce Strict Offboarding Process</t>
  </si>
  <si>
    <t>RR-013</t>
  </si>
  <si>
    <t>Payment System</t>
  </si>
  <si>
    <t>Man-in-the-Middle Attack</t>
  </si>
  <si>
    <t>Chief Financial Officer (CFO)</t>
  </si>
  <si>
    <t xml:space="preserve">Unencrypted Data in Transit, Weak SSL/TLS Configuration </t>
  </si>
  <si>
    <t>Firewalls, Strong SSL/TLS Enrcyption, PCI DSS Compliance, Tokenisation, IDS</t>
  </si>
  <si>
    <t>Enforce SSL/TLS Encryption, Maintain PCI DSS Compliance, Deploy Tokenisation</t>
  </si>
  <si>
    <t>RR-014</t>
  </si>
  <si>
    <t>Source Code Repository</t>
  </si>
  <si>
    <t>Code Theft</t>
  </si>
  <si>
    <t>Chief Technology Officer (CTO)</t>
  </si>
  <si>
    <t>Hardcoded Credentials, Weak Access Controls</t>
  </si>
  <si>
    <t>RBAC, MFA, Code Reviews, Audit Logging, Secret Scanning</t>
  </si>
  <si>
    <t>Implement a Strong MFA, Conduct Regular and Random Code Reviews, Deploy Secret Scanning</t>
  </si>
  <si>
    <t>RR-015</t>
  </si>
  <si>
    <t>Vendor Access</t>
  </si>
  <si>
    <t>Third Party Data Breach</t>
  </si>
  <si>
    <t>Chief Procurement Officer (CPO)</t>
  </si>
  <si>
    <t>Excessive Vendor Permissions, Lack of Vendor Monitoring</t>
  </si>
  <si>
    <t>Vendor Risk and Security Assessment, Least Privilege Access, Vendor Access Monitoring, Contractual Security Requirements, MFA</t>
  </si>
  <si>
    <t>Enforce Least Privilege For Vendor Access, Regular Vendor Security Assessments, Vendor Activity Monitoring</t>
  </si>
  <si>
    <t>RR-016</t>
  </si>
  <si>
    <t>VPN Systems</t>
  </si>
  <si>
    <t>Unpatched Vulnerabilities</t>
  </si>
  <si>
    <t>Network Security Manager</t>
  </si>
  <si>
    <t xml:space="preserve">Outdated Firmware, No Patch Management </t>
  </si>
  <si>
    <t>Regular Patch Management, MFA, RBAC, VPN Activity Monitoring, IDS</t>
  </si>
  <si>
    <t>Implement Regular Patch Management, MFA For VPN Connections, Monitor VPN Activity</t>
  </si>
  <si>
    <t xml:space="preserve"> Network Security Manager</t>
  </si>
  <si>
    <t>Legend</t>
  </si>
  <si>
    <t>Likelihood &amp; Impact Scale</t>
  </si>
  <si>
    <t>Control Effectiveness Scale</t>
  </si>
  <si>
    <t>Risk Level Scale</t>
  </si>
  <si>
    <t>Score</t>
  </si>
  <si>
    <t>Label</t>
  </si>
  <si>
    <t>Meaning</t>
  </si>
  <si>
    <t>Review Frequency</t>
  </si>
  <si>
    <t>Very Low</t>
  </si>
  <si>
    <t>Fully Effective</t>
  </si>
  <si>
    <t>Fully Implemented and Monitored</t>
  </si>
  <si>
    <t>Low</t>
  </si>
  <si>
    <t>Mostly Effective</t>
  </si>
  <si>
    <t>Mostly Effective With Minor Gaps</t>
  </si>
  <si>
    <t>Medium</t>
  </si>
  <si>
    <t>Partially Effective</t>
  </si>
  <si>
    <t>In Place But Inconsistent</t>
  </si>
  <si>
    <t>15-19</t>
  </si>
  <si>
    <t>High</t>
  </si>
  <si>
    <t>Mostly Ineffective</t>
  </si>
  <si>
    <t>Significant Gaps Remain</t>
  </si>
  <si>
    <t>20-25</t>
  </si>
  <si>
    <t>Critical</t>
  </si>
  <si>
    <t>Monthly</t>
  </si>
  <si>
    <t>Ineffective</t>
  </si>
  <si>
    <t>Little To No Controls In Place</t>
  </si>
  <si>
    <t>Risk Level</t>
  </si>
  <si>
    <t>Number Of Risks</t>
  </si>
  <si>
    <t>Critical (20-25)</t>
  </si>
  <si>
    <t>High (15-19)</t>
  </si>
  <si>
    <t>Medium (8-14)</t>
  </si>
  <si>
    <t>Low (1-7)</t>
  </si>
  <si>
    <t>Total Risks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</si>
</sst>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m-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19.5"/>
    <col customWidth="1" min="3" max="3" width="25.25"/>
    <col customWidth="1" min="4" max="4" width="25.63"/>
    <col customWidth="1" min="5" max="5" width="82.25"/>
    <col customWidth="1" min="6" max="6" width="98.38"/>
    <col customWidth="1" min="9" max="9" width="12.13"/>
    <col customWidth="1" min="10" max="10" width="18.5"/>
    <col customWidth="1" min="11" max="11" width="13.38"/>
    <col customWidth="1" min="12" max="12" width="85.63"/>
    <col customWidth="1" min="13" max="13" width="24.88"/>
    <col customWidth="1" min="14" max="14" width="16.0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4.0</v>
      </c>
      <c r="H3" s="2">
        <v>5.0</v>
      </c>
      <c r="I3" s="3">
        <v>20.0</v>
      </c>
      <c r="J3" s="2">
        <v>4.0</v>
      </c>
      <c r="K3" s="3">
        <v>16.0</v>
      </c>
      <c r="L3" s="2" t="s">
        <v>22</v>
      </c>
      <c r="M3" s="2" t="s">
        <v>23</v>
      </c>
      <c r="N3" s="4">
        <v>46272.0</v>
      </c>
      <c r="O3" s="2" t="s">
        <v>24</v>
      </c>
    </row>
    <row r="4">
      <c r="A4" s="2" t="s">
        <v>25</v>
      </c>
      <c r="B4" s="2" t="s">
        <v>26</v>
      </c>
      <c r="C4" s="2" t="s">
        <v>27</v>
      </c>
      <c r="D4" s="2" t="s">
        <v>19</v>
      </c>
      <c r="E4" s="2" t="s">
        <v>28</v>
      </c>
      <c r="F4" s="2" t="s">
        <v>29</v>
      </c>
      <c r="G4" s="2">
        <v>4.0</v>
      </c>
      <c r="H4" s="2">
        <v>5.0</v>
      </c>
      <c r="I4" s="3">
        <v>20.0</v>
      </c>
      <c r="J4" s="2">
        <v>3.0</v>
      </c>
      <c r="K4" s="5">
        <v>12.0</v>
      </c>
      <c r="L4" s="2" t="s">
        <v>30</v>
      </c>
      <c r="M4" s="2" t="s">
        <v>23</v>
      </c>
      <c r="N4" s="4">
        <v>46272.0</v>
      </c>
      <c r="O4" s="2" t="s">
        <v>31</v>
      </c>
    </row>
    <row r="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>
        <v>4.0</v>
      </c>
      <c r="H5" s="2">
        <v>5.0</v>
      </c>
      <c r="I5" s="3">
        <v>20.0</v>
      </c>
      <c r="J5" s="2">
        <v>2.0</v>
      </c>
      <c r="K5" s="6">
        <v>8.0</v>
      </c>
      <c r="L5" s="2" t="s">
        <v>38</v>
      </c>
      <c r="M5" s="2" t="s">
        <v>35</v>
      </c>
      <c r="N5" s="4">
        <v>46272.0</v>
      </c>
      <c r="O5" s="2" t="s">
        <v>31</v>
      </c>
    </row>
    <row r="6">
      <c r="A6" s="2" t="s">
        <v>39</v>
      </c>
      <c r="B6" s="2" t="s">
        <v>33</v>
      </c>
      <c r="C6" s="2" t="s">
        <v>40</v>
      </c>
      <c r="D6" s="2" t="s">
        <v>35</v>
      </c>
      <c r="E6" s="2" t="s">
        <v>41</v>
      </c>
      <c r="F6" s="2" t="s">
        <v>42</v>
      </c>
      <c r="G6" s="2">
        <v>2.0</v>
      </c>
      <c r="H6" s="2">
        <v>5.0</v>
      </c>
      <c r="I6" s="6">
        <v>10.0</v>
      </c>
      <c r="J6" s="2">
        <v>2.0</v>
      </c>
      <c r="K6" s="7">
        <v>4.0</v>
      </c>
      <c r="L6" s="2" t="s">
        <v>43</v>
      </c>
      <c r="M6" s="2" t="s">
        <v>35</v>
      </c>
      <c r="N6" s="4">
        <v>46363.0</v>
      </c>
      <c r="O6" s="2" t="s">
        <v>44</v>
      </c>
    </row>
    <row r="7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>
        <v>3.0</v>
      </c>
      <c r="H7" s="2">
        <v>3.0</v>
      </c>
      <c r="I7" s="6">
        <v>9.0</v>
      </c>
      <c r="J7" s="2">
        <v>2.0</v>
      </c>
      <c r="K7" s="7">
        <v>4.0</v>
      </c>
      <c r="L7" s="2" t="s">
        <v>51</v>
      </c>
      <c r="M7" s="2" t="s">
        <v>48</v>
      </c>
      <c r="N7" s="4">
        <v>46363.0</v>
      </c>
      <c r="O7" s="2" t="s">
        <v>44</v>
      </c>
    </row>
    <row r="8">
      <c r="A8" s="2" t="s">
        <v>52</v>
      </c>
      <c r="B8" s="2" t="s">
        <v>46</v>
      </c>
      <c r="C8" s="2" t="s">
        <v>53</v>
      </c>
      <c r="D8" s="2" t="s">
        <v>48</v>
      </c>
      <c r="E8" s="2" t="s">
        <v>54</v>
      </c>
      <c r="F8" s="2" t="s">
        <v>55</v>
      </c>
      <c r="G8" s="2">
        <v>4.0</v>
      </c>
      <c r="H8" s="2">
        <v>5.0</v>
      </c>
      <c r="I8" s="3">
        <v>20.0</v>
      </c>
      <c r="J8" s="2">
        <v>4.0</v>
      </c>
      <c r="K8" s="3">
        <v>16.0</v>
      </c>
      <c r="L8" s="2" t="s">
        <v>56</v>
      </c>
      <c r="M8" s="2" t="s">
        <v>48</v>
      </c>
      <c r="N8" s="4">
        <v>46272.0</v>
      </c>
      <c r="O8" s="2" t="s">
        <v>24</v>
      </c>
    </row>
    <row r="9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>
        <v>4.0</v>
      </c>
      <c r="H9" s="2">
        <v>5.0</v>
      </c>
      <c r="I9" s="3">
        <v>20.0</v>
      </c>
      <c r="J9" s="2">
        <v>3.0</v>
      </c>
      <c r="K9" s="5">
        <v>12.0</v>
      </c>
      <c r="L9" s="2" t="s">
        <v>63</v>
      </c>
      <c r="M9" s="2" t="s">
        <v>60</v>
      </c>
      <c r="N9" s="4">
        <v>46272.0</v>
      </c>
      <c r="O9" s="2" t="s">
        <v>31</v>
      </c>
    </row>
    <row r="10">
      <c r="A10" s="2" t="s">
        <v>64</v>
      </c>
      <c r="B10" s="2" t="s">
        <v>65</v>
      </c>
      <c r="C10" s="2" t="s">
        <v>28</v>
      </c>
      <c r="D10" s="2" t="s">
        <v>19</v>
      </c>
      <c r="E10" s="2" t="s">
        <v>66</v>
      </c>
      <c r="F10" s="2" t="s">
        <v>67</v>
      </c>
      <c r="G10" s="2">
        <v>5.0</v>
      </c>
      <c r="H10" s="2">
        <v>4.0</v>
      </c>
      <c r="I10" s="3">
        <v>20.0</v>
      </c>
      <c r="J10" s="2">
        <v>3.0</v>
      </c>
      <c r="K10" s="5">
        <v>12.0</v>
      </c>
      <c r="L10" s="2" t="s">
        <v>68</v>
      </c>
      <c r="M10" s="2" t="s">
        <v>69</v>
      </c>
      <c r="N10" s="4">
        <v>46272.0</v>
      </c>
      <c r="O10" s="2" t="s">
        <v>31</v>
      </c>
    </row>
    <row r="11">
      <c r="A11" s="2" t="s">
        <v>70</v>
      </c>
      <c r="B11" s="2" t="s">
        <v>71</v>
      </c>
      <c r="C11" s="2" t="s">
        <v>72</v>
      </c>
      <c r="D11" s="2" t="s">
        <v>19</v>
      </c>
      <c r="E11" s="2" t="s">
        <v>73</v>
      </c>
      <c r="F11" s="2" t="s">
        <v>74</v>
      </c>
      <c r="G11" s="2">
        <v>4.0</v>
      </c>
      <c r="H11" s="2">
        <v>4.0</v>
      </c>
      <c r="I11" s="3">
        <v>16.0</v>
      </c>
      <c r="J11" s="2">
        <v>2.0</v>
      </c>
      <c r="K11" s="7">
        <v>6.0</v>
      </c>
      <c r="L11" s="2" t="s">
        <v>75</v>
      </c>
      <c r="M11" s="2" t="s">
        <v>76</v>
      </c>
      <c r="N11" s="4">
        <v>46363.0</v>
      </c>
      <c r="O11" s="2" t="s">
        <v>44</v>
      </c>
    </row>
    <row r="12">
      <c r="A12" s="2" t="s">
        <v>77</v>
      </c>
      <c r="B12" s="2" t="s">
        <v>78</v>
      </c>
      <c r="C12" s="2" t="s">
        <v>36</v>
      </c>
      <c r="D12" s="2" t="s">
        <v>79</v>
      </c>
      <c r="E12" s="2" t="s">
        <v>80</v>
      </c>
      <c r="F12" s="2" t="s">
        <v>81</v>
      </c>
      <c r="G12" s="2">
        <v>3.0</v>
      </c>
      <c r="H12" s="2">
        <v>5.0</v>
      </c>
      <c r="I12" s="3">
        <v>15.0</v>
      </c>
      <c r="J12" s="2">
        <v>2.0</v>
      </c>
      <c r="K12" s="7">
        <v>6.0</v>
      </c>
      <c r="L12" s="2" t="s">
        <v>82</v>
      </c>
      <c r="M12" s="2" t="s">
        <v>79</v>
      </c>
      <c r="N12" s="4">
        <v>46363.0</v>
      </c>
      <c r="O12" s="2" t="s">
        <v>44</v>
      </c>
    </row>
    <row r="13">
      <c r="A13" s="2" t="s">
        <v>83</v>
      </c>
      <c r="B13" s="2" t="s">
        <v>84</v>
      </c>
      <c r="C13" s="2" t="s">
        <v>85</v>
      </c>
      <c r="D13" s="2" t="s">
        <v>86</v>
      </c>
      <c r="E13" s="2" t="s">
        <v>87</v>
      </c>
      <c r="F13" s="2" t="s">
        <v>88</v>
      </c>
      <c r="G13" s="2">
        <v>3.0</v>
      </c>
      <c r="H13" s="2">
        <v>4.0</v>
      </c>
      <c r="I13" s="5">
        <v>12.0</v>
      </c>
      <c r="J13" s="2">
        <v>2.0</v>
      </c>
      <c r="K13" s="7">
        <v>5.0</v>
      </c>
      <c r="L13" s="2" t="s">
        <v>89</v>
      </c>
      <c r="M13" s="2" t="s">
        <v>86</v>
      </c>
      <c r="N13" s="4">
        <v>46363.0</v>
      </c>
      <c r="O13" s="2" t="s">
        <v>44</v>
      </c>
    </row>
    <row r="14">
      <c r="A14" s="2" t="s">
        <v>90</v>
      </c>
      <c r="B14" s="2" t="s">
        <v>91</v>
      </c>
      <c r="C14" s="2" t="s">
        <v>92</v>
      </c>
      <c r="D14" s="2" t="s">
        <v>19</v>
      </c>
      <c r="E14" s="2" t="s">
        <v>93</v>
      </c>
      <c r="F14" s="2" t="s">
        <v>94</v>
      </c>
      <c r="G14" s="2">
        <v>4.0</v>
      </c>
      <c r="H14" s="2">
        <v>5.0</v>
      </c>
      <c r="I14" s="3">
        <v>20.0</v>
      </c>
      <c r="J14" s="2">
        <v>2.0</v>
      </c>
      <c r="K14" s="6">
        <v>8.0</v>
      </c>
      <c r="L14" s="2" t="s">
        <v>95</v>
      </c>
      <c r="M14" s="2" t="s">
        <v>19</v>
      </c>
      <c r="N14" s="4">
        <v>46272.0</v>
      </c>
      <c r="O14" s="2" t="s">
        <v>31</v>
      </c>
    </row>
    <row r="15">
      <c r="A15" s="2" t="s">
        <v>96</v>
      </c>
      <c r="B15" s="2" t="s">
        <v>97</v>
      </c>
      <c r="C15" s="2" t="s">
        <v>98</v>
      </c>
      <c r="D15" s="2" t="s">
        <v>99</v>
      </c>
      <c r="E15" s="2" t="s">
        <v>100</v>
      </c>
      <c r="F15" s="2" t="s">
        <v>101</v>
      </c>
      <c r="G15" s="2">
        <v>3.0</v>
      </c>
      <c r="H15" s="2">
        <v>5.0</v>
      </c>
      <c r="I15" s="3">
        <v>15.0</v>
      </c>
      <c r="J15" s="2">
        <v>2.0</v>
      </c>
      <c r="K15" s="7">
        <v>6.0</v>
      </c>
      <c r="L15" s="2" t="s">
        <v>102</v>
      </c>
      <c r="M15" s="2" t="s">
        <v>99</v>
      </c>
      <c r="N15" s="4">
        <v>46363.0</v>
      </c>
      <c r="O15" s="2" t="s">
        <v>44</v>
      </c>
    </row>
    <row r="16">
      <c r="A16" s="2" t="s">
        <v>103</v>
      </c>
      <c r="B16" s="2" t="s">
        <v>104</v>
      </c>
      <c r="C16" s="2" t="s">
        <v>105</v>
      </c>
      <c r="D16" s="2" t="s">
        <v>106</v>
      </c>
      <c r="E16" s="2" t="s">
        <v>107</v>
      </c>
      <c r="F16" s="2" t="s">
        <v>108</v>
      </c>
      <c r="G16" s="2">
        <v>3.0</v>
      </c>
      <c r="H16" s="2">
        <v>4.0</v>
      </c>
      <c r="I16" s="5">
        <v>12.0</v>
      </c>
      <c r="J16" s="2">
        <v>2.0</v>
      </c>
      <c r="K16" s="7">
        <v>5.0</v>
      </c>
      <c r="L16" s="2" t="s">
        <v>109</v>
      </c>
      <c r="M16" s="2" t="s">
        <v>106</v>
      </c>
      <c r="N16" s="4">
        <v>46363.0</v>
      </c>
      <c r="O16" s="2" t="s">
        <v>44</v>
      </c>
    </row>
    <row r="17">
      <c r="A17" s="2" t="s">
        <v>110</v>
      </c>
      <c r="B17" s="2" t="s">
        <v>111</v>
      </c>
      <c r="C17" s="2" t="s">
        <v>112</v>
      </c>
      <c r="D17" s="2" t="s">
        <v>113</v>
      </c>
      <c r="E17" s="2" t="s">
        <v>114</v>
      </c>
      <c r="F17" s="2" t="s">
        <v>115</v>
      </c>
      <c r="G17" s="2">
        <v>4.0</v>
      </c>
      <c r="H17" s="2">
        <v>5.0</v>
      </c>
      <c r="I17" s="3">
        <v>20.0</v>
      </c>
      <c r="J17" s="2">
        <v>3.0</v>
      </c>
      <c r="K17" s="5">
        <v>12.0</v>
      </c>
      <c r="L17" s="2" t="s">
        <v>116</v>
      </c>
      <c r="M17" s="2" t="s">
        <v>113</v>
      </c>
      <c r="N17" s="4">
        <v>46272.0</v>
      </c>
      <c r="O17" s="2" t="s">
        <v>31</v>
      </c>
    </row>
    <row r="18">
      <c r="A18" s="2" t="s">
        <v>117</v>
      </c>
      <c r="B18" s="2" t="s">
        <v>118</v>
      </c>
      <c r="C18" s="2" t="s">
        <v>119</v>
      </c>
      <c r="D18" s="2" t="s">
        <v>120</v>
      </c>
      <c r="E18" s="2" t="s">
        <v>121</v>
      </c>
      <c r="F18" s="2" t="s">
        <v>122</v>
      </c>
      <c r="G18" s="2">
        <v>4.0</v>
      </c>
      <c r="H18" s="2">
        <v>5.0</v>
      </c>
      <c r="I18" s="3">
        <v>20.0</v>
      </c>
      <c r="J18" s="2">
        <v>2.0</v>
      </c>
      <c r="K18" s="6">
        <v>8.0</v>
      </c>
      <c r="L18" s="2" t="s">
        <v>123</v>
      </c>
      <c r="M18" s="2" t="s">
        <v>124</v>
      </c>
      <c r="N18" s="4">
        <v>46272.0</v>
      </c>
      <c r="O18" s="2" t="s">
        <v>31</v>
      </c>
    </row>
  </sheetData>
  <mergeCells count="1">
    <mergeCell ref="A1:O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5" max="5" width="17.25"/>
    <col customWidth="1" min="7" max="7" width="13.75"/>
    <col customWidth="1" min="11" max="11" width="16.38"/>
  </cols>
  <sheetData>
    <row r="1">
      <c r="A1" s="1" t="s">
        <v>125</v>
      </c>
    </row>
    <row r="2">
      <c r="A2" s="1" t="s">
        <v>126</v>
      </c>
      <c r="D2" s="1" t="s">
        <v>127</v>
      </c>
      <c r="I2" s="1" t="s">
        <v>128</v>
      </c>
    </row>
    <row r="3">
      <c r="A3" s="1" t="s">
        <v>129</v>
      </c>
      <c r="B3" s="1" t="s">
        <v>130</v>
      </c>
      <c r="D3" s="1" t="s">
        <v>129</v>
      </c>
      <c r="E3" s="1" t="s">
        <v>130</v>
      </c>
      <c r="F3" s="1" t="s">
        <v>131</v>
      </c>
      <c r="I3" s="1" t="s">
        <v>129</v>
      </c>
      <c r="J3" s="1" t="s">
        <v>130</v>
      </c>
      <c r="K3" s="1" t="s">
        <v>132</v>
      </c>
    </row>
    <row r="4">
      <c r="A4" s="2">
        <v>1.0</v>
      </c>
      <c r="B4" s="2" t="s">
        <v>133</v>
      </c>
      <c r="D4" s="2">
        <v>1.0</v>
      </c>
      <c r="E4" s="2" t="s">
        <v>134</v>
      </c>
      <c r="F4" s="2" t="s">
        <v>135</v>
      </c>
      <c r="I4" s="8">
        <v>46029.0</v>
      </c>
      <c r="J4" s="2" t="s">
        <v>136</v>
      </c>
      <c r="K4" s="2" t="s">
        <v>44</v>
      </c>
    </row>
    <row r="5">
      <c r="A5" s="2">
        <v>2.0</v>
      </c>
      <c r="B5" s="2" t="s">
        <v>136</v>
      </c>
      <c r="D5" s="2">
        <v>2.0</v>
      </c>
      <c r="E5" s="2" t="s">
        <v>137</v>
      </c>
      <c r="F5" s="2" t="s">
        <v>138</v>
      </c>
      <c r="I5" s="8">
        <v>46248.0</v>
      </c>
      <c r="J5" s="2" t="s">
        <v>139</v>
      </c>
      <c r="K5" s="2" t="s">
        <v>31</v>
      </c>
    </row>
    <row r="6">
      <c r="A6" s="2">
        <v>3.0</v>
      </c>
      <c r="B6" s="2" t="s">
        <v>139</v>
      </c>
      <c r="D6" s="2">
        <v>3.0</v>
      </c>
      <c r="E6" s="2" t="s">
        <v>140</v>
      </c>
      <c r="F6" s="2" t="s">
        <v>141</v>
      </c>
      <c r="I6" s="2" t="s">
        <v>142</v>
      </c>
      <c r="J6" s="2" t="s">
        <v>143</v>
      </c>
      <c r="K6" s="2" t="s">
        <v>24</v>
      </c>
    </row>
    <row r="7">
      <c r="A7" s="2">
        <v>4.0</v>
      </c>
      <c r="B7" s="2" t="s">
        <v>143</v>
      </c>
      <c r="D7" s="2">
        <v>4.0</v>
      </c>
      <c r="E7" s="2" t="s">
        <v>144</v>
      </c>
      <c r="F7" s="2" t="s">
        <v>145</v>
      </c>
      <c r="I7" s="2" t="s">
        <v>146</v>
      </c>
      <c r="J7" s="2" t="s">
        <v>147</v>
      </c>
      <c r="K7" s="2" t="s">
        <v>148</v>
      </c>
    </row>
    <row r="8">
      <c r="A8" s="2">
        <v>5.0</v>
      </c>
      <c r="B8" s="2" t="s">
        <v>147</v>
      </c>
      <c r="D8" s="2">
        <v>5.0</v>
      </c>
      <c r="E8" s="2" t="s">
        <v>149</v>
      </c>
      <c r="F8" s="2" t="s">
        <v>150</v>
      </c>
    </row>
  </sheetData>
  <mergeCells count="10">
    <mergeCell ref="F6:G6"/>
    <mergeCell ref="F7:G7"/>
    <mergeCell ref="F8:G8"/>
    <mergeCell ref="A1:K1"/>
    <mergeCell ref="A2:B2"/>
    <mergeCell ref="D2:F2"/>
    <mergeCell ref="I2:K2"/>
    <mergeCell ref="F3:G3"/>
    <mergeCell ref="F4:G4"/>
    <mergeCell ref="F5:G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</cols>
  <sheetData>
    <row r="1">
      <c r="A1" s="1" t="s">
        <v>151</v>
      </c>
      <c r="B1" s="1" t="s">
        <v>152</v>
      </c>
    </row>
    <row r="2">
      <c r="A2" s="9" t="s">
        <v>153</v>
      </c>
      <c r="B2" s="10">
        <f>COUNTIF('Risk Register'!K3:K18,"&gt;=20")</f>
        <v>0</v>
      </c>
    </row>
    <row r="3">
      <c r="A3" s="2" t="s">
        <v>154</v>
      </c>
      <c r="B3" s="10">
        <f>COUNTIFS('Risk Register'!K3:K18,"&gt;=15",'Risk Register'!K3:K18,"&lt;=19")</f>
        <v>2</v>
      </c>
    </row>
    <row r="4">
      <c r="A4" s="2" t="s">
        <v>155</v>
      </c>
      <c r="B4" s="10">
        <f>COUNTIFS('Risk Register'!K3:K18,"&gt;=8",'Risk Register'!K3:K18,"&lt;=14")</f>
        <v>7</v>
      </c>
    </row>
    <row r="5">
      <c r="A5" s="2" t="s">
        <v>156</v>
      </c>
      <c r="B5" s="10">
        <f>COUNTIFS('Risk Register'!K3:K18,"&gt;=1",'Risk Register'!K3:K18,"&lt;=7")</f>
        <v>7</v>
      </c>
    </row>
    <row r="7">
      <c r="A7" s="1" t="s">
        <v>157</v>
      </c>
      <c r="B7" s="10">
        <f>COUNTA('Risk Register'!K3:K18)</f>
        <v>16</v>
      </c>
    </row>
  </sheetData>
  <drawing r:id="rId1"/>
</worksheet>
</file>